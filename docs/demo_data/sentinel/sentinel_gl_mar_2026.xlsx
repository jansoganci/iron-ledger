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3FEB85CB-683F-4B3E-9018-84A686B151A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D39" i="2"/>
  <c r="D37" i="2"/>
  <c r="D25" i="2"/>
  <c r="D19" i="2"/>
  <c r="D13" i="2"/>
  <c r="D11" i="2"/>
  <c r="D8" i="2"/>
</calcChain>
</file>

<file path=xl/sharedStrings.xml><?xml version="1.0" encoding="utf-8"?>
<sst xmlns="http://schemas.openxmlformats.org/spreadsheetml/2006/main" count="79" uniqueCount="63">
  <si>
    <t>Sentinel Secure LLC</t>
  </si>
  <si>
    <t>Profit and Loss</t>
  </si>
  <si>
    <t>Account</t>
  </si>
  <si>
    <t>Account Code</t>
  </si>
  <si>
    <t>Category</t>
  </si>
  <si>
    <t>Amount</t>
  </si>
  <si>
    <t>Description</t>
  </si>
  <si>
    <t>Service Revenue</t>
  </si>
  <si>
    <t>REVENUE</t>
  </si>
  <si>
    <t>Monthly monitoring contracts (82 customers billed)</t>
  </si>
  <si>
    <t>Installation Revenue</t>
  </si>
  <si>
    <t>New installs completed March</t>
  </si>
  <si>
    <t>Total Revenue</t>
  </si>
  <si>
    <t>Equipment COGS</t>
  </si>
  <si>
    <t>COGS</t>
  </si>
  <si>
    <t>AlarmTech + VisionPro + SafeGas suppliers</t>
  </si>
  <si>
    <t>Total COGS</t>
  </si>
  <si>
    <t>Gross Profit</t>
  </si>
  <si>
    <t>Salaries &amp; Wages</t>
  </si>
  <si>
    <t>PAYROLL</t>
  </si>
  <si>
    <t>Gross pay March (8 employees)</t>
  </si>
  <si>
    <t>Contractors</t>
  </si>
  <si>
    <t>On-call bonus — M. Chen</t>
  </si>
  <si>
    <t>Payroll Taxes</t>
  </si>
  <si>
    <t>Employer FICA + FUTA March</t>
  </si>
  <si>
    <t>Employee Benefits</t>
  </si>
  <si>
    <t>Health insurance premiums (employer share)</t>
  </si>
  <si>
    <t>Total Payroll</t>
  </si>
  <si>
    <t>Vehicle Expense</t>
  </si>
  <si>
    <t>OPEX</t>
  </si>
  <si>
    <t>Fuel, maintenance, parking</t>
  </si>
  <si>
    <t>Marketing</t>
  </si>
  <si>
    <t>Google Ads + Angie's List</t>
  </si>
  <si>
    <t>Software Subscriptions</t>
  </si>
  <si>
    <t>Alarm.com platform + Salesforce + QuickBooks</t>
  </si>
  <si>
    <t>Equipment Rental</t>
  </si>
  <si>
    <t>Lift rental for commercial installs</t>
  </si>
  <si>
    <t>Total OPEX</t>
  </si>
  <si>
    <t>Rent</t>
  </si>
  <si>
    <t>G&amp;A</t>
  </si>
  <si>
    <t>Office rent</t>
  </si>
  <si>
    <t>Utilities</t>
  </si>
  <si>
    <t>Electricity + internet</t>
  </si>
  <si>
    <t>Insurance</t>
  </si>
  <si>
    <t>General liability + commercial auto</t>
  </si>
  <si>
    <t>Office Supplies</t>
  </si>
  <si>
    <t>Printer supplies, safety forms, misc.</t>
  </si>
  <si>
    <t>Professional Fees</t>
  </si>
  <si>
    <t>Accountant — monthly bookkeeping</t>
  </si>
  <si>
    <t>Telephone</t>
  </si>
  <si>
    <t>Cell plan (8 lines) + office phone</t>
  </si>
  <si>
    <t>Bank Charges</t>
  </si>
  <si>
    <t>Merchant processing fees</t>
  </si>
  <si>
    <t>Licenses &amp; Permits</t>
  </si>
  <si>
    <t>State alarm contractor license renewal</t>
  </si>
  <si>
    <t>Depreciation</t>
  </si>
  <si>
    <t>Vehicle + equipment depreciation</t>
  </si>
  <si>
    <t>Bad Debt Expense</t>
  </si>
  <si>
    <t>Write-off: acct #2847 (closed customer)</t>
  </si>
  <si>
    <t>Total G&amp;A</t>
  </si>
  <si>
    <t>Total Operating Expenses</t>
  </si>
  <si>
    <t>Net Income</t>
  </si>
  <si>
    <t>High COGS month — Q2 equipment pre-order (see PO #2601)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</si>
</sst>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17" fontId="2" fillId="0" borderId="0" xfId="0" applyNumberFormat="1" applyFont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4" fontId="5" fillId="0" borderId="0" xfId="0" applyNumberFormat="1" applyFont="1"/>
    <xf numFmtId="4" fontId="4" fillId="0" borderId="0" xfId="0" applyNumberFormat="1" applyFont="1"/>
    <xf numFmtId="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128E0C-3230-49DC-8D69-C90F6640AEA8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1a64d6a-f08b-4863-9f6f-891cfef895d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1B54A-6C52-4723-954C-4FE05E919C21}">
  <dimension ref="A1:E41"/>
  <sheetViews>
    <sheetView tabSelected="1" workbookViewId="0"/>
  </sheetViews>
  <sheetFormatPr defaultRowHeight="15"/>
  <cols>
    <col min="1" max="1" width="23.42578125" bestFit="1" customWidth="1"/>
    <col min="2" max="2" width="13.140625" bestFit="1" customWidth="1"/>
    <col min="4" max="4" width="10.85546875" bestFit="1" customWidth="1"/>
    <col min="5" max="5" width="54.42578125" bestFit="1" customWidth="1"/>
  </cols>
  <sheetData>
    <row r="1" spans="1:5" ht="18.75">
      <c r="A1" s="1" t="s">
        <v>0</v>
      </c>
    </row>
    <row r="2" spans="1:5" ht="15.75">
      <c r="A2" s="2" t="s">
        <v>1</v>
      </c>
    </row>
    <row r="3" spans="1:5" ht="15.75">
      <c r="A3" s="3">
        <v>46082</v>
      </c>
    </row>
    <row r="5" spans="1:5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</row>
    <row r="6" spans="1:5">
      <c r="A6" s="6" t="s">
        <v>7</v>
      </c>
      <c r="B6" s="6">
        <v>4010</v>
      </c>
      <c r="C6" s="6" t="s">
        <v>8</v>
      </c>
      <c r="D6" s="7">
        <v>3540</v>
      </c>
      <c r="E6" s="6" t="s">
        <v>9</v>
      </c>
    </row>
    <row r="7" spans="1:5">
      <c r="A7" s="6" t="s">
        <v>10</v>
      </c>
      <c r="B7" s="6">
        <v>4020</v>
      </c>
      <c r="C7" s="6" t="s">
        <v>8</v>
      </c>
      <c r="D7" s="7">
        <v>15000</v>
      </c>
      <c r="E7" s="6" t="s">
        <v>11</v>
      </c>
    </row>
    <row r="8" spans="1:5">
      <c r="A8" s="4" t="s">
        <v>12</v>
      </c>
      <c r="D8" s="8">
        <f>SUM(D6:D7)</f>
        <v>18540</v>
      </c>
    </row>
    <row r="10" spans="1:5">
      <c r="A10" s="6" t="s">
        <v>13</v>
      </c>
      <c r="B10" s="6">
        <v>5010</v>
      </c>
      <c r="C10" s="6" t="s">
        <v>14</v>
      </c>
      <c r="D10" s="7">
        <v>36100</v>
      </c>
      <c r="E10" s="6" t="s">
        <v>15</v>
      </c>
    </row>
    <row r="11" spans="1:5">
      <c r="A11" s="4" t="s">
        <v>16</v>
      </c>
      <c r="D11" s="8">
        <f>SUM(D10:D10)</f>
        <v>36100</v>
      </c>
    </row>
    <row r="13" spans="1:5">
      <c r="A13" s="4" t="s">
        <v>17</v>
      </c>
      <c r="D13" s="8">
        <f>D8-D11</f>
        <v>-17560</v>
      </c>
    </row>
    <row r="15" spans="1:5">
      <c r="A15" s="6" t="s">
        <v>18</v>
      </c>
      <c r="B15" s="6">
        <v>6010</v>
      </c>
      <c r="C15" s="6" t="s">
        <v>19</v>
      </c>
      <c r="D15" s="7">
        <v>43500</v>
      </c>
      <c r="E15" s="6" t="s">
        <v>20</v>
      </c>
    </row>
    <row r="16" spans="1:5">
      <c r="A16" s="6" t="s">
        <v>21</v>
      </c>
      <c r="B16" s="6">
        <v>6015</v>
      </c>
      <c r="C16" s="6" t="s">
        <v>19</v>
      </c>
      <c r="D16" s="7">
        <v>700</v>
      </c>
      <c r="E16" s="6" t="s">
        <v>22</v>
      </c>
    </row>
    <row r="17" spans="1:5">
      <c r="A17" s="6" t="s">
        <v>23</v>
      </c>
      <c r="B17" s="6">
        <v>6020</v>
      </c>
      <c r="C17" s="6" t="s">
        <v>19</v>
      </c>
      <c r="D17" s="7">
        <v>3675</v>
      </c>
      <c r="E17" s="6" t="s">
        <v>24</v>
      </c>
    </row>
    <row r="18" spans="1:5">
      <c r="A18" s="6" t="s">
        <v>25</v>
      </c>
      <c r="B18" s="6">
        <v>6025</v>
      </c>
      <c r="C18" s="6" t="s">
        <v>19</v>
      </c>
      <c r="D18" s="7">
        <v>1240</v>
      </c>
      <c r="E18" s="6" t="s">
        <v>26</v>
      </c>
    </row>
    <row r="19" spans="1:5">
      <c r="A19" s="4" t="s">
        <v>27</v>
      </c>
      <c r="D19" s="8">
        <f>SUM(D15:D18)</f>
        <v>49115</v>
      </c>
    </row>
    <row r="21" spans="1:5">
      <c r="A21" s="6" t="s">
        <v>28</v>
      </c>
      <c r="B21" s="6">
        <v>6210</v>
      </c>
      <c r="C21" s="6" t="s">
        <v>29</v>
      </c>
      <c r="D21" s="7">
        <v>2100</v>
      </c>
      <c r="E21" s="6" t="s">
        <v>30</v>
      </c>
    </row>
    <row r="22" spans="1:5">
      <c r="A22" s="6" t="s">
        <v>31</v>
      </c>
      <c r="B22" s="6">
        <v>6310</v>
      </c>
      <c r="C22" s="6" t="s">
        <v>29</v>
      </c>
      <c r="D22" s="7">
        <v>2400</v>
      </c>
      <c r="E22" s="6" t="s">
        <v>32</v>
      </c>
    </row>
    <row r="23" spans="1:5">
      <c r="A23" s="6" t="s">
        <v>33</v>
      </c>
      <c r="B23" s="6">
        <v>6320</v>
      </c>
      <c r="C23" s="6" t="s">
        <v>29</v>
      </c>
      <c r="D23" s="7">
        <v>615</v>
      </c>
      <c r="E23" s="6" t="s">
        <v>34</v>
      </c>
    </row>
    <row r="24" spans="1:5">
      <c r="A24" s="6" t="s">
        <v>35</v>
      </c>
      <c r="B24" s="6">
        <v>6330</v>
      </c>
      <c r="C24" s="6" t="s">
        <v>29</v>
      </c>
      <c r="D24" s="7">
        <v>390</v>
      </c>
      <c r="E24" s="6" t="s">
        <v>36</v>
      </c>
    </row>
    <row r="25" spans="1:5">
      <c r="A25" s="4" t="s">
        <v>37</v>
      </c>
      <c r="D25" s="8">
        <f>SUM(D21:D24)</f>
        <v>5505</v>
      </c>
    </row>
    <row r="27" spans="1:5">
      <c r="A27" s="6" t="s">
        <v>38</v>
      </c>
      <c r="B27" s="6">
        <v>6410</v>
      </c>
      <c r="C27" s="6" t="s">
        <v>39</v>
      </c>
      <c r="D27" s="7">
        <v>3200</v>
      </c>
      <c r="E27" s="6" t="s">
        <v>40</v>
      </c>
    </row>
    <row r="28" spans="1:5">
      <c r="A28" s="6" t="s">
        <v>41</v>
      </c>
      <c r="B28" s="6">
        <v>6420</v>
      </c>
      <c r="C28" s="6" t="s">
        <v>39</v>
      </c>
      <c r="D28" s="7">
        <v>480</v>
      </c>
      <c r="E28" s="6" t="s">
        <v>42</v>
      </c>
    </row>
    <row r="29" spans="1:5">
      <c r="A29" s="6" t="s">
        <v>43</v>
      </c>
      <c r="B29" s="6">
        <v>6430</v>
      </c>
      <c r="C29" s="6" t="s">
        <v>39</v>
      </c>
      <c r="D29" s="7">
        <v>1150</v>
      </c>
      <c r="E29" s="6" t="s">
        <v>44</v>
      </c>
    </row>
    <row r="30" spans="1:5">
      <c r="A30" s="6" t="s">
        <v>45</v>
      </c>
      <c r="B30" s="6">
        <v>6440</v>
      </c>
      <c r="C30" s="6" t="s">
        <v>39</v>
      </c>
      <c r="D30" s="7">
        <v>215</v>
      </c>
      <c r="E30" s="6" t="s">
        <v>46</v>
      </c>
    </row>
    <row r="31" spans="1:5">
      <c r="A31" s="6" t="s">
        <v>47</v>
      </c>
      <c r="B31" s="6">
        <v>6450</v>
      </c>
      <c r="C31" s="6" t="s">
        <v>39</v>
      </c>
      <c r="D31" s="7">
        <v>875</v>
      </c>
      <c r="E31" s="6" t="s">
        <v>48</v>
      </c>
    </row>
    <row r="32" spans="1:5">
      <c r="A32" s="6" t="s">
        <v>49</v>
      </c>
      <c r="B32" s="6">
        <v>6460</v>
      </c>
      <c r="C32" s="6" t="s">
        <v>39</v>
      </c>
      <c r="D32" s="7">
        <v>320</v>
      </c>
      <c r="E32" s="6" t="s">
        <v>50</v>
      </c>
    </row>
    <row r="33" spans="1:5">
      <c r="A33" s="6" t="s">
        <v>51</v>
      </c>
      <c r="B33" s="6">
        <v>6470</v>
      </c>
      <c r="C33" s="6" t="s">
        <v>39</v>
      </c>
      <c r="D33" s="7">
        <v>95</v>
      </c>
      <c r="E33" s="6" t="s">
        <v>52</v>
      </c>
    </row>
    <row r="34" spans="1:5">
      <c r="A34" s="6" t="s">
        <v>53</v>
      </c>
      <c r="B34" s="6">
        <v>6480</v>
      </c>
      <c r="C34" s="6" t="s">
        <v>39</v>
      </c>
      <c r="D34" s="7">
        <v>250</v>
      </c>
      <c r="E34" s="6" t="s">
        <v>54</v>
      </c>
    </row>
    <row r="35" spans="1:5">
      <c r="A35" s="6" t="s">
        <v>55</v>
      </c>
      <c r="B35" s="6">
        <v>6490</v>
      </c>
      <c r="C35" s="6" t="s">
        <v>39</v>
      </c>
      <c r="D35" s="7">
        <v>620</v>
      </c>
      <c r="E35" s="6" t="s">
        <v>56</v>
      </c>
    </row>
    <row r="36" spans="1:5">
      <c r="A36" s="6" t="s">
        <v>57</v>
      </c>
      <c r="B36" s="6">
        <v>6495</v>
      </c>
      <c r="C36" s="6" t="s">
        <v>39</v>
      </c>
      <c r="D36" s="7">
        <v>177</v>
      </c>
      <c r="E36" s="6" t="s">
        <v>58</v>
      </c>
    </row>
    <row r="37" spans="1:5">
      <c r="A37" s="4" t="s">
        <v>59</v>
      </c>
      <c r="D37" s="8">
        <f>SUM(D27:D36)</f>
        <v>7382</v>
      </c>
    </row>
    <row r="39" spans="1:5">
      <c r="A39" s="4" t="s">
        <v>60</v>
      </c>
      <c r="D39" s="8">
        <f>D19+D25+D37</f>
        <v>62002</v>
      </c>
    </row>
    <row r="41" spans="1:5" ht="15.75">
      <c r="A41" s="2" t="s">
        <v>61</v>
      </c>
      <c r="D41" s="9">
        <f>D8-D11-D39</f>
        <v>-79562</v>
      </c>
      <c r="E41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2026-04-23T09:44:08Z</dcterms:created>
  <dcterms:modified xsi:type="dcterms:W3CDTF">2026-04-24T18:22:36Z</dcterms:modified>
  <cp:category/>
  <cp:contentStatus/>
</cp:coreProperties>
</file>